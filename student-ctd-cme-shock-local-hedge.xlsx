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8_{51F369F7-40E3-420B-A8E2-433E70141BA3}" xr6:coauthVersionLast="47" xr6:coauthVersionMax="47" xr10:uidLastSave="{00000000-0000-0000-0000-000000000000}"/>
  <bookViews>
    <workbookView xWindow="-28920" yWindow="-120" windowWidth="29040" windowHeight="15720" xr2:uid="{19B9CAAE-4C1D-4A43-A605-36D378ACC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" i="1" l="1"/>
  <c r="G13" i="1"/>
  <c r="G12" i="1"/>
  <c r="G11" i="1"/>
  <c r="G10" i="1"/>
  <c r="G9" i="1"/>
  <c r="G8" i="1"/>
  <c r="G7" i="1"/>
  <c r="G6" i="1"/>
  <c r="G5" i="1"/>
  <c r="G4" i="1"/>
  <c r="F14" i="1"/>
  <c r="F13" i="1"/>
  <c r="F12" i="1"/>
  <c r="F11" i="1"/>
  <c r="F10" i="1"/>
  <c r="F9" i="1"/>
  <c r="F8" i="1"/>
  <c r="F7" i="1"/>
  <c r="F6" i="1"/>
  <c r="F5" i="1"/>
  <c r="F4" i="1"/>
  <c r="E4" i="1"/>
  <c r="E14" i="1"/>
  <c r="E13" i="1"/>
  <c r="E12" i="1"/>
  <c r="E11" i="1"/>
  <c r="E10" i="1"/>
  <c r="E9" i="1"/>
  <c r="E8" i="1"/>
  <c r="E7" i="1"/>
  <c r="E6" i="1"/>
  <c r="E5" i="1"/>
  <c r="B9" i="1"/>
  <c r="B8" i="1"/>
</calcChain>
</file>

<file path=xl/sharedStrings.xml><?xml version="1.0" encoding="utf-8"?>
<sst xmlns="http://schemas.openxmlformats.org/spreadsheetml/2006/main" count="15" uniqueCount="13">
  <si>
    <t>student-ctd-cme-shock-local-hedge</t>
  </si>
  <si>
    <t>ctd inputs</t>
  </si>
  <si>
    <t>compare local dv01 across different shock values,  calculate local hedges</t>
  </si>
  <si>
    <t>mod</t>
  </si>
  <si>
    <t>c</t>
  </si>
  <si>
    <t>cf</t>
  </si>
  <si>
    <t>cme outputs</t>
  </si>
  <si>
    <t>shock bps inputs</t>
  </si>
  <si>
    <t>ctd dv01 @ shock</t>
  </si>
  <si>
    <t>cme dv01 @ shock</t>
  </si>
  <si>
    <t>par assumption</t>
  </si>
  <si>
    <t>sheet calculates dv01 ratios</t>
  </si>
  <si>
    <t>perfect ctd:cme ratio  cf estimation @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</si>
</sst>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6" borderId="0" xfId="1" applyFont="1" applyFill="1"/>
    <xf numFmtId="0" fontId="0" fillId="8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 applyAlignment="1">
      <alignment wrapText="1"/>
    </xf>
    <xf numFmtId="0" fontId="0" fillId="13" borderId="0" xfId="0" applyFill="1"/>
    <xf numFmtId="0" fontId="0" fillId="9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F325-8510-4099-A6BE-089C826A09D1}">
  <dimension ref="A1:G14"/>
  <sheetViews>
    <sheetView tabSelected="1" zoomScale="130" zoomScaleNormal="130" workbookViewId="0">
      <selection activeCell="K7" sqref="K7"/>
    </sheetView>
  </sheetViews>
  <sheetFormatPr defaultRowHeight="15" x14ac:dyDescent="0.25"/>
  <cols>
    <col min="1" max="1" width="35.5703125" customWidth="1"/>
    <col min="2" max="2" width="12.140625" customWidth="1"/>
    <col min="4" max="4" width="18.85546875" customWidth="1"/>
    <col min="5" max="5" width="17.5703125" customWidth="1"/>
    <col min="6" max="6" width="17" customWidth="1"/>
    <col min="7" max="7" width="20.28515625" customWidth="1"/>
  </cols>
  <sheetData>
    <row r="1" spans="1:7" ht="44.25" customHeight="1" x14ac:dyDescent="0.25">
      <c r="A1" s="1" t="s">
        <v>0</v>
      </c>
      <c r="B1" s="12"/>
      <c r="C1" s="12"/>
      <c r="D1" s="9" t="s">
        <v>10</v>
      </c>
      <c r="E1" s="10">
        <v>100</v>
      </c>
      <c r="F1" s="11" t="s">
        <v>11</v>
      </c>
      <c r="G1" s="12"/>
    </row>
    <row r="2" spans="1:7" ht="45.75" customHeight="1" x14ac:dyDescent="0.25">
      <c r="A2" s="2" t="s">
        <v>2</v>
      </c>
      <c r="B2" s="12"/>
      <c r="C2" s="12"/>
      <c r="D2" s="12"/>
      <c r="E2" s="12"/>
      <c r="G2" s="12"/>
    </row>
    <row r="3" spans="1:7" ht="31.5" customHeight="1" x14ac:dyDescent="0.25">
      <c r="A3" s="3" t="s">
        <v>1</v>
      </c>
      <c r="B3" s="12"/>
      <c r="C3" s="12"/>
      <c r="D3" s="3" t="s">
        <v>7</v>
      </c>
      <c r="E3" s="7" t="s">
        <v>8</v>
      </c>
      <c r="F3" s="5" t="s">
        <v>9</v>
      </c>
      <c r="G3" s="13" t="s">
        <v>12</v>
      </c>
    </row>
    <row r="4" spans="1:7" ht="27" customHeight="1" x14ac:dyDescent="0.25">
      <c r="A4" s="12" t="s">
        <v>3</v>
      </c>
      <c r="B4" s="4">
        <v>8</v>
      </c>
      <c r="C4" s="12"/>
      <c r="D4" s="4">
        <v>50</v>
      </c>
      <c r="E4" s="6">
        <f>((E1*(1-B4*(D4/10000)+(1/2)*B5*((D4/10000)^2)))*(B4-B5*(D4/10000)))/10000</f>
        <v>7.3271484375000001E-2</v>
      </c>
      <c r="F4" s="6">
        <f>((E1*(1-B8*(D4/10000)+(1/2)*B9*((D4/10000)^2)))*(B8-B9*(D4/10000)))/10000</f>
        <v>8.3252551020408155E-2</v>
      </c>
      <c r="G4" s="8">
        <f>E4/F4</f>
        <v>0.88011098130841137</v>
      </c>
    </row>
    <row r="5" spans="1:7" ht="22.5" customHeight="1" x14ac:dyDescent="0.25">
      <c r="A5" s="12" t="s">
        <v>4</v>
      </c>
      <c r="B5" s="4">
        <v>75</v>
      </c>
      <c r="C5" s="12"/>
      <c r="D5" s="4">
        <v>40</v>
      </c>
      <c r="E5" s="6">
        <f>((E1*(1-B4*(D5/10000)+(1/2)*B5*((D5/10000)^2)))*(B4-B5*(D5/10000)))/10000</f>
        <v>7.4582200000000001E-2</v>
      </c>
      <c r="F5" s="6">
        <f>((E1*(1-B8*(D5/10000)+(1/2)*B9*((D5/10000)^2)))*(B8-B9*(D5/10000)))/10000</f>
        <v>8.4842057142857127E-2</v>
      </c>
      <c r="G5" s="8">
        <f>E5/F5</f>
        <v>0.87907109412043638</v>
      </c>
    </row>
    <row r="6" spans="1:7" ht="22.5" customHeight="1" x14ac:dyDescent="0.25">
      <c r="A6" s="12" t="s">
        <v>5</v>
      </c>
      <c r="B6" s="4">
        <v>0.875</v>
      </c>
      <c r="C6" s="12"/>
      <c r="D6" s="4">
        <v>30</v>
      </c>
      <c r="E6" s="6">
        <f>((E1*(1-B4*(D6/10000)+(1/2)*B5*((D6/10000)^2)))*(B4-B5*(D6/10000)))/10000</f>
        <v>7.5910240625E-2</v>
      </c>
      <c r="F6" s="6">
        <f>((E1*(1-B8*(D6/10000)+(1/2)*B9*((D6/10000)^2)))*(B8-B9*(D6/10000)))/10000</f>
        <v>8.6454191836734695E-2</v>
      </c>
      <c r="G6" s="8">
        <f>E6/F6</f>
        <v>0.87804002341903176</v>
      </c>
    </row>
    <row r="7" spans="1:7" ht="26.25" customHeight="1" x14ac:dyDescent="0.25">
      <c r="A7" s="5" t="s">
        <v>6</v>
      </c>
      <c r="B7" s="12"/>
      <c r="C7" s="12"/>
      <c r="D7" s="4">
        <v>20</v>
      </c>
      <c r="E7" s="6">
        <f>((E1*(1-B4*(D7/10000)+(1/2)*B5*((D7/10000)^2)))*(B4-B5*(D7/10000)))/10000</f>
        <v>7.7255774999999999E-2</v>
      </c>
      <c r="F7" s="6">
        <f>((E1*(1-B8*(D7/10000)+(1/2)*B9*((D7/10000)^2)))*(B8-B9*(D7/10000)))/10000</f>
        <v>8.8089175510204093E-2</v>
      </c>
      <c r="G7" s="8">
        <f>E7/F7</f>
        <v>0.87701780102426807</v>
      </c>
    </row>
    <row r="8" spans="1:7" ht="25.5" customHeight="1" x14ac:dyDescent="0.25">
      <c r="A8" s="12" t="s">
        <v>3</v>
      </c>
      <c r="B8" s="6">
        <f>B4/B6</f>
        <v>9.1428571428571423</v>
      </c>
      <c r="C8" s="12"/>
      <c r="D8" s="4">
        <v>10</v>
      </c>
      <c r="E8" s="6">
        <f>((E1*(1-B4*(D8/10000)+(1/2)*B5*((D8/10000)^2)))*(B4-B5*(D8/10000)))/10000</f>
        <v>7.8618971874999999E-2</v>
      </c>
      <c r="F8" s="6">
        <f>((E1*(1-B8*(D8/10000)+(1/2)*B9*((D8/10000)^2)))*(B8-B9*(D8/10000)))/10000</f>
        <v>8.9747228571428569E-2</v>
      </c>
      <c r="G8" s="8">
        <f>E8/F8</f>
        <v>0.87600445302250485</v>
      </c>
    </row>
    <row r="9" spans="1:7" ht="26.25" customHeight="1" x14ac:dyDescent="0.25">
      <c r="A9" s="12" t="s">
        <v>4</v>
      </c>
      <c r="B9" s="6">
        <f>B5/B6</f>
        <v>85.714285714285708</v>
      </c>
      <c r="C9" s="12"/>
      <c r="D9" s="4">
        <v>0</v>
      </c>
      <c r="E9" s="6">
        <f>((E1*(1-B4*(D9/10000)+(1/2)*B5*((D9/10000)^2)))*(B4-B5*(D9/10000)))/10000</f>
        <v>0.08</v>
      </c>
      <c r="F9" s="6">
        <f>((E1*(1-B8*(D9/10000)+(1/2)*B9*((D9/10000)^2)))*(B8-B9*(D9/10000)))/10000</f>
        <v>9.1428571428571428E-2</v>
      </c>
      <c r="G9" s="8">
        <f>E9/F9</f>
        <v>0.875</v>
      </c>
    </row>
    <row r="10" spans="1:7" ht="26.25" customHeight="1" x14ac:dyDescent="0.25">
      <c r="A10" s="12"/>
      <c r="B10" s="12"/>
      <c r="C10" s="12"/>
      <c r="D10" s="4">
        <v>-10</v>
      </c>
      <c r="E10" s="6">
        <f>((E1*(1-B4*(D10/10000)+(1/2)*B5*((D10/10000)^2)))*(B4-B5*(D10/10000)))/10000</f>
        <v>8.1399028124999981E-2</v>
      </c>
      <c r="F10" s="6">
        <f>((E1*(1-B8*(D10/10000)+(1/2)*B9*((D10/10000)^2)))*(B8-B9*(D10/10000)))/10000</f>
        <v>9.3133424489795918E-2</v>
      </c>
      <c r="G10" s="8">
        <f>E10/F10</f>
        <v>0.87400445727106701</v>
      </c>
    </row>
    <row r="11" spans="1:7" ht="25.5" customHeight="1" x14ac:dyDescent="0.25">
      <c r="A11" s="12"/>
      <c r="B11" s="12"/>
      <c r="C11" s="12"/>
      <c r="D11" s="4">
        <v>-20</v>
      </c>
      <c r="E11" s="6">
        <f>((E1*(1-B4*(D11/10000)+(1/2)*B5*((D11/10000)^2)))*(B4-B5*(D11/10000)))/10000</f>
        <v>8.2816225000000007E-2</v>
      </c>
      <c r="F11" s="6">
        <f>((E1*(1-B8*(D11/10000)+(1/2)*B9*((D11/10000)^2)))*(B8-B9*(D11/10000)))/10000</f>
        <v>9.4862008163265288E-2</v>
      </c>
      <c r="G11" s="8">
        <f>E11/F11</f>
        <v>0.87301783510071285</v>
      </c>
    </row>
    <row r="12" spans="1:7" ht="23.25" customHeight="1" x14ac:dyDescent="0.25">
      <c r="A12" s="12"/>
      <c r="B12" s="12"/>
      <c r="C12" s="12"/>
      <c r="D12" s="4">
        <v>-30</v>
      </c>
      <c r="E12" s="6">
        <f>((E1*(1-B4*(D12/10000)+(1/2)*B5*((D12/10000)^2)))*(B4-B5*(D12/10000)))/10000</f>
        <v>8.4251759375000013E-2</v>
      </c>
      <c r="F12" s="6">
        <f>((E1*(1-B8*(D12/10000)+(1/2)*B9*((D12/10000)^2)))*(B8-B9*(D12/10000)))/10000</f>
        <v>9.6614542857142841E-2</v>
      </c>
      <c r="G12" s="8">
        <f>E12/F12</f>
        <v>0.87204013892170651</v>
      </c>
    </row>
    <row r="13" spans="1:7" ht="27" customHeight="1" x14ac:dyDescent="0.25">
      <c r="A13" s="12"/>
      <c r="B13" s="12"/>
      <c r="C13" s="12"/>
      <c r="D13" s="4">
        <v>-40</v>
      </c>
      <c r="E13" s="6">
        <f>((E1*(1-B4*(D13/10000)+(1/2)*B5*((D13/10000)^2)))*(B4-B5*(D13/10000)))/10000</f>
        <v>8.5705799999999999E-2</v>
      </c>
      <c r="F13" s="6">
        <f>((E1*(1-B8*(D13/10000)+(1/2)*B9*((D13/10000)^2)))*(B8-B9*(D13/10000)))/10000</f>
        <v>9.8391248979591825E-2</v>
      </c>
      <c r="G13" s="8">
        <f>E13/F13</f>
        <v>0.87107136954605557</v>
      </c>
    </row>
    <row r="14" spans="1:7" ht="24" customHeight="1" x14ac:dyDescent="0.25">
      <c r="A14" s="12"/>
      <c r="B14" s="12"/>
      <c r="C14" s="12"/>
      <c r="D14" s="4">
        <v>-50</v>
      </c>
      <c r="E14" s="6">
        <f>((E1*(1-B4*(D14/10000)+(1/2)*B5*((D14/10000)^2)))*(B4-B5*(D14/10000)))/10000</f>
        <v>8.7178515624999994E-2</v>
      </c>
      <c r="F14" s="6">
        <f>((E1*(1-B8*(D14/10000)+(1/2)*B9*((D14/10000)^2)))*(B8-B9*(D14/10000)))/10000</f>
        <v>0.10019234693877552</v>
      </c>
      <c r="G14" s="8">
        <f>E14/F14</f>
        <v>0.87011152337086306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223A11-913C-4CD3-BFE7-0C39E70E61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A79BF9-ED23-4330-A9CE-5AACBB338A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6278F6-3D4B-4691-95CC-392CBBA15212}">
  <ds:schemaRefs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aa22a689-7505-4716-b802-371d38c763eb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2026-05-27T02:30:46Z</dcterms:created>
  <dcterms:modified xsi:type="dcterms:W3CDTF">2026-05-27T05:14:56Z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